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<sst xmlns="http://schemas.openxmlformats.org/spreadsheetml/2006/main" count="24" uniqueCount="23">
  <si>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r>
      <rPr>
        <rFont val="Noto Sans Symbols"/>
        <b/>
        <color rgb="FF073763"/>
        <sz val="24.0"/>
      </rPr>
      <t>ABC Sales and Service</t>
    </r>
    <r>
      <rPr>
        <rFont val="Noto Sans Symbols"/>
        <b/>
        <color rgb="FF073763"/>
        <sz val="17.0"/>
      </rPr>
      <t xml:space="preserve"> </t>
    </r>
    <r>
      <rPr>
        <rFont val="Arial"/>
        <color theme="1"/>
        <sz val="17.0"/>
      </rPr>
      <t xml:space="preserve">
</t>
    </r>
    <r>
      <rPr>
        <rFont val="Calibri"/>
        <i/>
        <color rgb="FF3D85C6"/>
        <sz val="14.0"/>
      </rPr>
      <t xml:space="preserve">sector 62, Mohali Phone: +91 9876543210
</t>
    </r>
    <r>
      <rPr>
        <rFont val="Calibri"/>
        <i/>
        <color rgb="FFCC0000"/>
        <sz val="14.0"/>
      </rPr>
      <t xml:space="preserve"> GSTIN: 03ABCDE1234F1Z5</t>
    </r>
  </si>
  <si>
    <t>To</t>
  </si>
  <si>
    <t>Date: 29/07/2026</t>
  </si>
  <si>
    <t>Aryan Bhatia</t>
  </si>
  <si>
    <t>VPO abc Teh abc DISTT abc</t>
  </si>
  <si>
    <t>Himachal pradesh</t>
  </si>
  <si>
    <t>Contact: 6784937278</t>
  </si>
  <si>
    <t>Item name</t>
  </si>
  <si>
    <t>Qty</t>
  </si>
  <si>
    <t>Rate</t>
  </si>
  <si>
    <t>Amount</t>
  </si>
  <si>
    <t xml:space="preserve">Gst </t>
  </si>
  <si>
    <t>Total Amount</t>
  </si>
  <si>
    <t>Samsung Galaxy A56</t>
  </si>
  <si>
    <t>Boat Earbuds</t>
  </si>
  <si>
    <t>Mobile Cover</t>
  </si>
  <si>
    <t>Screen Guard</t>
  </si>
  <si>
    <t>Charger</t>
  </si>
  <si>
    <t>Phone Cover</t>
  </si>
  <si>
    <t>Sub Total</t>
  </si>
  <si>
    <t>CGST 9%</t>
  </si>
  <si>
    <t>SGST 9%</t>
  </si>
  <si>
    <t>Signature: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</si>
</sst>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7.0"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4" numFmtId="0" xfId="0" applyAlignment="1" applyBorder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13" fillId="0" fontId="3" numFmtId="0" xfId="0" applyBorder="1" applyFont="1"/>
    <xf borderId="12" fillId="0" fontId="3" numFmtId="0" xfId="0" applyBorder="1" applyFont="1"/>
    <xf borderId="14" fillId="2" fontId="5" numFmtId="0" xfId="0" applyAlignment="1" applyBorder="1" applyFill="1" applyFont="1">
      <alignment readingOrder="0"/>
    </xf>
    <xf borderId="15" fillId="2" fontId="5" numFmtId="0" xfId="0" applyAlignment="1" applyBorder="1" applyFont="1">
      <alignment readingOrder="0"/>
    </xf>
    <xf borderId="15" fillId="2" fontId="5" numFmtId="4" xfId="0" applyAlignment="1" applyBorder="1" applyFont="1" applyNumberFormat="1">
      <alignment readingOrder="0"/>
    </xf>
    <xf borderId="16" fillId="2" fontId="5" numFmtId="0" xfId="0" applyAlignment="1" applyBorder="1" applyFont="1">
      <alignment readingOrder="0"/>
    </xf>
    <xf borderId="14" fillId="0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15" fillId="0" fontId="6" numFmtId="0" xfId="0" applyBorder="1" applyFont="1"/>
    <xf borderId="15" fillId="0" fontId="6" numFmtId="4" xfId="0" applyAlignment="1" applyBorder="1" applyFont="1" applyNumberFormat="1">
      <alignment readingOrder="0"/>
    </xf>
    <xf borderId="16" fillId="0" fontId="6" numFmtId="4" xfId="0" applyBorder="1" applyFont="1" applyNumberFormat="1"/>
    <xf borderId="12" fillId="0" fontId="6" numFmtId="0" xfId="0" applyBorder="1" applyFont="1"/>
    <xf borderId="0" fillId="0" fontId="6" numFmtId="0" xfId="0" applyFont="1"/>
    <xf borderId="12" fillId="0" fontId="6" numFmtId="0" xfId="0" applyAlignment="1" applyBorder="1" applyFont="1">
      <alignment horizontal="right" readingOrder="0"/>
    </xf>
    <xf borderId="0" fillId="0" fontId="6" numFmtId="0" xfId="0" applyAlignment="1" applyFont="1">
      <alignment horizontal="right" readingOrder="0"/>
    </xf>
    <xf borderId="17" fillId="0" fontId="3" numFmtId="0" xfId="0" applyBorder="1" applyFont="1"/>
    <xf borderId="7" fillId="0" fontId="3" numFmtId="0" xfId="0" applyBorder="1" applyFont="1"/>
    <xf borderId="1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38"/>
    <col customWidth="1" min="5" max="5" width="15.25"/>
    <col customWidth="1" min="6" max="6" width="16.2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F2" s="5"/>
    </row>
    <row r="3">
      <c r="A3" s="4"/>
      <c r="F3" s="5"/>
    </row>
    <row r="4">
      <c r="A4" s="4"/>
      <c r="F4" s="5"/>
    </row>
    <row r="5">
      <c r="A5" s="6"/>
      <c r="B5" s="7"/>
      <c r="C5" s="7"/>
      <c r="D5" s="7"/>
      <c r="E5" s="7"/>
      <c r="F5" s="8"/>
    </row>
    <row r="6">
      <c r="A6" s="9"/>
      <c r="B6" s="10"/>
      <c r="C6" s="10"/>
      <c r="D6" s="10"/>
      <c r="E6" s="10"/>
      <c r="F6" s="11"/>
    </row>
    <row r="7">
      <c r="A7" s="12" t="s">
        <v>1</v>
      </c>
      <c r="B7" s="13"/>
      <c r="E7" s="14" t="s">
        <v>2</v>
      </c>
      <c r="F7" s="15"/>
    </row>
    <row r="8">
      <c r="A8" s="12" t="s">
        <v>3</v>
      </c>
      <c r="B8" s="13"/>
      <c r="F8" s="15"/>
    </row>
    <row r="9">
      <c r="A9" s="12" t="s">
        <v>4</v>
      </c>
      <c r="B9" s="13"/>
      <c r="F9" s="15"/>
    </row>
    <row r="10">
      <c r="A10" s="12" t="s">
        <v>5</v>
      </c>
      <c r="B10" s="13"/>
      <c r="F10" s="15"/>
    </row>
    <row r="11">
      <c r="A11" s="12" t="s">
        <v>6</v>
      </c>
      <c r="B11" s="13"/>
      <c r="F11" s="15"/>
    </row>
    <row r="12">
      <c r="A12" s="16"/>
      <c r="F12" s="15"/>
    </row>
    <row r="13">
      <c r="A13" s="17" t="s">
        <v>7</v>
      </c>
      <c r="B13" s="18" t="s">
        <v>8</v>
      </c>
      <c r="C13" s="18" t="s">
        <v>9</v>
      </c>
      <c r="D13" s="18" t="s">
        <v>10</v>
      </c>
      <c r="E13" s="19" t="s">
        <v>11</v>
      </c>
      <c r="F13" s="20" t="s">
        <v>12</v>
      </c>
    </row>
    <row r="14">
      <c r="A14" s="21" t="s">
        <v>13</v>
      </c>
      <c r="B14" s="22">
        <v>1.0</v>
      </c>
      <c r="C14" s="22">
        <v>25000.0</v>
      </c>
      <c r="D14" s="23">
        <f t="shared" ref="D14:D19" si="1">B14*C14</f>
        <v>25000</v>
      </c>
      <c r="E14" s="24">
        <f t="shared" ref="E14:E19" si="2">D14*18/100</f>
        <v>4500</v>
      </c>
      <c r="F14" s="25">
        <f t="shared" ref="F14:F19" si="3">D14+E14</f>
        <v>29500</v>
      </c>
    </row>
    <row r="15">
      <c r="A15" s="21" t="s">
        <v>14</v>
      </c>
      <c r="B15" s="22">
        <v>2.0</v>
      </c>
      <c r="C15" s="22">
        <v>14000.0</v>
      </c>
      <c r="D15" s="23">
        <f t="shared" si="1"/>
        <v>28000</v>
      </c>
      <c r="E15" s="24">
        <f t="shared" si="2"/>
        <v>5040</v>
      </c>
      <c r="F15" s="25">
        <f t="shared" si="3"/>
        <v>33040</v>
      </c>
    </row>
    <row r="16">
      <c r="A16" s="21" t="s">
        <v>15</v>
      </c>
      <c r="B16" s="22">
        <v>3.0</v>
      </c>
      <c r="C16" s="22">
        <v>500.0</v>
      </c>
      <c r="D16" s="23">
        <f t="shared" si="1"/>
        <v>1500</v>
      </c>
      <c r="E16" s="24">
        <f t="shared" si="2"/>
        <v>270</v>
      </c>
      <c r="F16" s="25">
        <f t="shared" si="3"/>
        <v>1770</v>
      </c>
    </row>
    <row r="17">
      <c r="A17" s="21" t="s">
        <v>16</v>
      </c>
      <c r="B17" s="22">
        <v>7.0</v>
      </c>
      <c r="C17" s="22">
        <v>800.0</v>
      </c>
      <c r="D17" s="23">
        <f t="shared" si="1"/>
        <v>5600</v>
      </c>
      <c r="E17" s="24">
        <f t="shared" si="2"/>
        <v>1008</v>
      </c>
      <c r="F17" s="25">
        <f t="shared" si="3"/>
        <v>6608</v>
      </c>
    </row>
    <row r="18">
      <c r="A18" s="21" t="s">
        <v>17</v>
      </c>
      <c r="B18" s="22">
        <v>4.0</v>
      </c>
      <c r="C18" s="22">
        <v>1000.0</v>
      </c>
      <c r="D18" s="23">
        <f t="shared" si="1"/>
        <v>4000</v>
      </c>
      <c r="E18" s="24">
        <f t="shared" si="2"/>
        <v>720</v>
      </c>
      <c r="F18" s="25">
        <f t="shared" si="3"/>
        <v>4720</v>
      </c>
    </row>
    <row r="19">
      <c r="A19" s="21" t="s">
        <v>18</v>
      </c>
      <c r="B19" s="22">
        <v>1.0</v>
      </c>
      <c r="C19" s="22">
        <v>200.0</v>
      </c>
      <c r="D19" s="23">
        <f t="shared" si="1"/>
        <v>200</v>
      </c>
      <c r="E19" s="24">
        <f t="shared" si="2"/>
        <v>36</v>
      </c>
      <c r="F19" s="25">
        <f t="shared" si="3"/>
        <v>236</v>
      </c>
    </row>
    <row r="20">
      <c r="A20" s="16"/>
      <c r="F20" s="15"/>
    </row>
    <row r="21">
      <c r="A21" s="26"/>
      <c r="B21" s="27"/>
      <c r="C21" s="27"/>
      <c r="F21" s="15"/>
    </row>
    <row r="22">
      <c r="A22" s="28" t="s">
        <v>19</v>
      </c>
      <c r="B22" s="27">
        <f>sum(D14:D19)</f>
        <v>64300</v>
      </c>
      <c r="C22" s="27"/>
      <c r="F22" s="15"/>
    </row>
    <row r="23">
      <c r="A23" s="28" t="s">
        <v>20</v>
      </c>
      <c r="B23" s="27">
        <f>sum(B22*9/100)</f>
        <v>5787</v>
      </c>
      <c r="C23" s="27"/>
      <c r="F23" s="15"/>
    </row>
    <row r="24">
      <c r="A24" s="28" t="s">
        <v>21</v>
      </c>
      <c r="B24" s="27">
        <f>B22*9/100</f>
        <v>5787</v>
      </c>
      <c r="C24" s="27"/>
      <c r="F24" s="15"/>
    </row>
    <row r="25">
      <c r="A25" s="28" t="s">
        <v>12</v>
      </c>
      <c r="B25" s="27">
        <f>sum(B22:B24)</f>
        <v>75874</v>
      </c>
      <c r="C25" s="27"/>
      <c r="E25" s="29" t="s">
        <v>22</v>
      </c>
      <c r="F25" s="15"/>
    </row>
    <row r="26">
      <c r="A26" s="16"/>
      <c r="F26" s="15"/>
    </row>
    <row r="27">
      <c r="A27" s="30"/>
      <c r="B27" s="31"/>
      <c r="C27" s="31"/>
      <c r="D27" s="31"/>
      <c r="E27" s="31"/>
      <c r="F27" s="32"/>
    </row>
  </sheetData>
  <mergeCells count="1">
    <mergeCell ref="A1:F5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